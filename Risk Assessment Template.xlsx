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istosip-my.sharepoint.com/personal/pete_pistosip_com/Documents/Documents/GitHub/PCS-Scripts/"/>
    </mc:Choice>
  </mc:AlternateContent>
  <xr:revisionPtr revIDLastSave="0" documentId="8_{37E42E0B-AABE-4B9E-A530-D2428DFE8A17}" xr6:coauthVersionLast="47" xr6:coauthVersionMax="47" xr10:uidLastSave="{00000000-0000-0000-0000-000000000000}"/>
  <bookViews>
    <workbookView xWindow="28680" yWindow="-120" windowWidth="29040" windowHeight="15720" xr2:uid="{3686D427-DDC6-460A-BA70-FEFA6758055D}"/>
  </bookViews>
  <sheets>
    <sheet name="Master" sheetId="1" r:id="rId1"/>
    <sheet name="Sheet5"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1" l="1"/>
  <c r="I49" i="1"/>
  <c r="I48" i="1"/>
  <c r="I51" i="1" l="1"/>
</calcChain>
</file>

<file path=xl/sharedStrings.xml><?xml version="1.0" encoding="utf-8"?>
<sst xmlns="http://schemas.openxmlformats.org/spreadsheetml/2006/main" count="312" uniqueCount="132">
  <si>
    <t>Control Name</t>
  </si>
  <si>
    <t>Control Order</t>
  </si>
  <si>
    <t>Platform</t>
  </si>
  <si>
    <t>Implementation Guide</t>
  </si>
  <si>
    <t>Assessment Year</t>
  </si>
  <si>
    <t>N/A Approved</t>
  </si>
  <si>
    <t>Evidence Status</t>
  </si>
  <si>
    <t>A documented Disaster Recovery Plan is maintained and tested on a defined schedule.</t>
  </si>
  <si>
    <t>Process Control</t>
  </si>
  <si>
    <t>Applicable</t>
  </si>
  <si>
    <t>Not Started</t>
  </si>
  <si>
    <t>A documented Incident Response Plan is maintained, including roles, escalation paths, and response  procedures.</t>
  </si>
  <si>
    <t>A published privacy notice is maintained and includes an opt-out mechanism where applicable.</t>
  </si>
  <si>
    <t>Accounts lock out for at least 10 minutes after no fewer than five failed logon attempts.</t>
  </si>
  <si>
    <t>Approved</t>
  </si>
  <si>
    <t>Logging and  monitoring are enabled and configured to record security-relevant events.</t>
  </si>
  <si>
    <t>Microsoft 365</t>
  </si>
  <si>
    <t>Passwords must  meet the organization’s approved complexity and length requirements</t>
  </si>
  <si>
    <t>Phishing simulations are conducted at least monthly and results are tracked for remediation.</t>
  </si>
  <si>
    <t>The agency maintains cyberinsurance coverage appropriate to its risk profile and contractual obligations.</t>
  </si>
  <si>
    <t>The agency performs annual risk assessments that assess compliance with the NY DFS Cybersecurity regulation</t>
  </si>
  <si>
    <t>Users don't have administrative privileges</t>
  </si>
  <si>
    <t>Inherent Risk</t>
  </si>
  <si>
    <t>Operational Continuity</t>
  </si>
  <si>
    <t>Customer and Consumer Privacy</t>
  </si>
  <si>
    <t>Risk Management</t>
  </si>
  <si>
    <t>Human Resources</t>
  </si>
  <si>
    <t>Roles and  permissions are assigned to enforce least privilege and separation of duties</t>
  </si>
  <si>
    <t>N/A equivalent technology</t>
  </si>
  <si>
    <t>Identity and Access Management</t>
  </si>
  <si>
    <t xml:space="preserve">Applicable </t>
  </si>
  <si>
    <t>Domain</t>
  </si>
  <si>
    <t>Logging and Monitoring</t>
  </si>
  <si>
    <t>Remote access to internal  systems requires an approved VPN with MFA.</t>
  </si>
  <si>
    <t>N/A</t>
  </si>
  <si>
    <t>A vendor due diligence process is implemented, including annual reviews of third-party service providers.</t>
  </si>
  <si>
    <t>https://pistosip-my.sharepoint.com/my?id=%2Fpersonal%2Fpete%5Fpistosip%5Fcom%2FDocuments%2FDesktop%2FPCS%2FControls%20Implementation%20Steps%2FAMS%2FEzLynx%2FEZLynx%5FNYDFS%5FCybersecurity%5FProcedures%2Epdf&amp;parent=%2Fpersonal%2Fpete%5Fpistosip%5Fcom%2FDocuments%2FDesktop%2FPCS%2FControls%20Implementation%20Steps%2FAMS%2FEzLynx&amp;ga=1</t>
  </si>
  <si>
    <t>Security awareness training is required and tailored to each user’s role and technical responsibilities.</t>
  </si>
  <si>
    <t>Accepted</t>
  </si>
  <si>
    <t>Needs Minor Remediation</t>
  </si>
  <si>
    <t>Partially Implemented</t>
  </si>
  <si>
    <t>Security policies addressing each applicable regulatory requirement have been documented, reviewed, and formally approved by management.</t>
  </si>
  <si>
    <t>User accounts are uniquely assigned to and attributable to a single individual.</t>
  </si>
  <si>
    <t>Governance &amp; Program</t>
  </si>
  <si>
    <t>Category</t>
  </si>
  <si>
    <t>AMS</t>
  </si>
  <si>
    <t>Windows Endpoint</t>
  </si>
  <si>
    <t>Identity &amp; Access Control: Account Lockout, User Inventory, Password Policy, Admin Group Membership, Standard User Admin Rights, Break-Glass Account, UAC Level, User Rights Assignments</t>
  </si>
  <si>
    <t>Data Protection: BitLocker Encryption, Secure Boot, Cached Domain Credentials, Credential Guard / LSA Protection</t>
  </si>
  <si>
    <t>Threat Defense &amp; Hardening: Software Inventory, AutoRun / AutoPlay, PowerShell Execution Policy, Windows Script Host, LLMNR / NetBIOS, WinRM, Remote Desktop / NLA, Windows Update, Defender Firewall, Listening Ports, Defender AV / ASR Rules, Desktop File Policy, Wi-Fi Profiles, Screen Lock Timeout, SMBv1 Disabled, Constrained Language Mode, Delivery Optimization</t>
  </si>
  <si>
    <t>Logging &amp; Monitoring: Audit Policy, Event Log Sizes, Sysmon, PowerShell Logging, Endpoint Protection Monitoring</t>
  </si>
  <si>
    <t>External Posture &amp; Email: Secure DNS Configuration</t>
  </si>
  <si>
    <t>Identity &amp; Access Control: Smart Lockout, User Account Inventory, Multifactor Authentication, Password Policy, Administrative Privilege Review, Conditional Access, Guest Access Restrictions, Legacy Auth Blocked, Identity Protection, Application Consent</t>
  </si>
  <si>
    <t>Data Protection: Intune Device Encryption Compliance, Data Loss Prevention Policies, SharePoint / OneDrive External Sharing</t>
  </si>
  <si>
    <t>Threat Defense &amp; Hardening: Safe Attachments / Safe Links, Anti-Phishing Policy</t>
  </si>
  <si>
    <t>Logging &amp; Monitoring: Unified Audit Log, Audit Log Retention, Microsoft Secure Score</t>
  </si>
  <si>
    <t>External Posture &amp; Email: Mail Forwarding Controls, Shared Mailbox Authentication</t>
  </si>
  <si>
    <t>External Scan</t>
  </si>
  <si>
    <t>Identity &amp; Access Control: (not applicable)</t>
  </si>
  <si>
    <t>Data Protection: TLS Certificate Validation, TLS Version Enforcement</t>
  </si>
  <si>
    <t>Threat Defense &amp; Hardening: Port Scan, HTTP Methods, Open Redirect, Directory Listing, Exposed Admin Paths, HTTP Protocol Version</t>
  </si>
  <si>
    <t>Logging &amp; Monitoring: (not applicable)</t>
  </si>
  <si>
    <t>External Posture &amp; Email: Security Headers, Permissions-Policy, CORS Configuration, SPF Record, DMARC Policy, DKIM Signing, CAA Record, DNSSEC, Zone Transfer Protection, MX Records, MTA-STS / TLSRPT, BIMI Record, Nameserver Redundancy, Wildcard DNS, robots.txt Exposure, Reverse DNS, SMTP Banner, Domain Expiry, Domain Age, Subdomain Enumeration, Credential Breach Check</t>
  </si>
  <si>
    <t>Linux Endpoint</t>
  </si>
  <si>
    <t>Identity &amp; Access Control: SSH Root Login, SSH Password Auth, Password Complexity, Account Lockout, Passwordless Sudo, Inactive Accounts, Legacy Trust Files, Home Directory Permissions</t>
  </si>
  <si>
    <t>Data Protection: LUKS Disk Encryption, AIDE File Integrity, GRUB Bootloader Password</t>
  </si>
  <si>
    <t>Threat Defense &amp; Hardening: /tmp Mount Options, World-Writable Files, SUID/SGID Audit, Firewall Enabled, SSH Idle Timeout, Listening Ports, ICMP Redirects, IP Forwarding, Unattended Upgrades, Pending Updates, OS Version / EOL, Unnecessary Services, Time Synchronization, Cron Access, SSH Cipher Hardening</t>
  </si>
  <si>
    <t>Logging &amp; Monitoring: auditd, System Logging, Log Rotation, Failed Login Logging</t>
  </si>
  <si>
    <t>External Posture &amp; Email: (not applicable)</t>
  </si>
  <si>
    <t>P-1.1</t>
  </si>
  <si>
    <t>L-1.1</t>
  </si>
  <si>
    <t>P-1.2</t>
  </si>
  <si>
    <t>P-1.3</t>
  </si>
  <si>
    <t>P-1.4</t>
  </si>
  <si>
    <t>P-1.5</t>
  </si>
  <si>
    <t>P-1.6</t>
  </si>
  <si>
    <t>P-1.7</t>
  </si>
  <si>
    <t>P-1.8</t>
  </si>
  <si>
    <t>P-1.9</t>
  </si>
  <si>
    <t>P-1.10</t>
  </si>
  <si>
    <t>P-1.11</t>
  </si>
  <si>
    <t>P-1.12</t>
  </si>
  <si>
    <t>P-1.13</t>
  </si>
  <si>
    <t>W-1.1</t>
  </si>
  <si>
    <t>E-1.1</t>
  </si>
  <si>
    <t>W-1.2</t>
  </si>
  <si>
    <t>E-1.2</t>
  </si>
  <si>
    <t>L-1.2</t>
  </si>
  <si>
    <t>W-1.3</t>
  </si>
  <si>
    <t>W-1.4</t>
  </si>
  <si>
    <t>W-1.5</t>
  </si>
  <si>
    <t>M- 1.1</t>
  </si>
  <si>
    <t>M- 1.2</t>
  </si>
  <si>
    <t>M- 1.3</t>
  </si>
  <si>
    <t>M- 1.4</t>
  </si>
  <si>
    <t>M- 1.5</t>
  </si>
  <si>
    <t>E-1.3</t>
  </si>
  <si>
    <t>E-1.4</t>
  </si>
  <si>
    <t>E-1.5</t>
  </si>
  <si>
    <t>L-1.3</t>
  </si>
  <si>
    <t>L-1.4</t>
  </si>
  <si>
    <t>L-1.5</t>
  </si>
  <si>
    <t>AM-1.1</t>
  </si>
  <si>
    <t>AM-1.2</t>
  </si>
  <si>
    <t>AM-1.3</t>
  </si>
  <si>
    <t>AM-1.4</t>
  </si>
  <si>
    <t>AM-1.5</t>
  </si>
  <si>
    <t>AM-1.6</t>
  </si>
  <si>
    <t>Google Workplace</t>
  </si>
  <si>
    <t>G- 1.1</t>
  </si>
  <si>
    <t>G- 1.2</t>
  </si>
  <si>
    <t>G- 1.3</t>
  </si>
  <si>
    <t>G- 1.4</t>
  </si>
  <si>
    <t>G- 1.5</t>
  </si>
  <si>
    <t>AM-1.7</t>
  </si>
  <si>
    <t>The system uses 2FA where available</t>
  </si>
  <si>
    <t xml:space="preserve"> </t>
  </si>
  <si>
    <t>An inventory of hardware and software assets used to store, process and maintain NPI</t>
  </si>
  <si>
    <t>https://pistosip-my.sharepoint.com/:w:/p/pete/IQB14An3ZR_GTpWKpkTWphKHAbcuv4nwcgZNQ28BrNRgFSg?e=3OnNMm</t>
  </si>
  <si>
    <t>https://pistosip-my.sharepoint.com/:f:/p/pete/IgCptSKX6tvYQLi4c7Xfje-0AYkyGRmaviq38dnpkvGnFKw?e=IPyU4qThird Party Vendor Security Riews and Certifications</t>
  </si>
  <si>
    <t>The Agency shall maintain and annually update a written cybersecurity employee handbook that defines acceptable use of carrier portals, the Agency Management System, and office automation tools, and shall require every employee, contractor, and authorized user to acknowledge the handbook in writing prior to being granted access to Nonpublic Information and at least annually thereafter.</t>
  </si>
  <si>
    <t>https://pistosip-my.sharepoint.com/:w:/p/pete/IQCs0-KfA1QyS6tibsprjE55AfKu-p2b48H_K0mbDuhKHBo?e=8h8cUE</t>
  </si>
  <si>
    <t>Pre-employment background checks are completed for all hires as part of an Onboarding Checklist.</t>
  </si>
  <si>
    <t>https://pistosip-my.sharepoint.com/:w:/p/pete/IQD4P31eV9zfQqb6vdSf3g47AZmEW39mpCRzDTHmCCsH_-c?e=YSptoZ</t>
  </si>
  <si>
    <t>Process Controls total</t>
  </si>
  <si>
    <t>Technology Controls total</t>
  </si>
  <si>
    <t>https://pistosip-my.sharepoint.com/:w:/p/pete/IQBPfq5YXdbGQpCOx769Cno7AauikiTJ4G5-dzQzAVtYWpo?e=WOmWDP</t>
  </si>
  <si>
    <t>https://pistosip-my.sharepoint.com/:w:/p/pete/IQDRhGh_mDWGTq8TfDalngquAZWEEF2SF3c5ne-33dZGs6c?e=5nWPcn</t>
  </si>
  <si>
    <t>AMS Controls total</t>
  </si>
  <si>
    <t xml:space="preserve">  All controls total</t>
  </si>
  <si>
    <t>20 - 24</t>
  </si>
  <si>
    <t>41 - 45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</si>
</sst>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center" wrapText="1"/>
    </xf>
    <xf numFmtId="0" fontId="0" fillId="0" borderId="0" xfId="0" applyAlignment="1">
      <alignment horizontal="center"/>
    </xf>
    <xf numFmtId="0" fontId="0" fillId="0" borderId="0" xfId="0" applyAlignment="1">
      <alignment horizontal="left"/>
    </xf>
    <xf numFmtId="0" fontId="1" fillId="0" borderId="0" xfId="1"/>
    <xf numFmtId="0" fontId="1" fillId="0" borderId="0" xfId="1" applyAlignment="1">
      <alignment horizontal="left"/>
    </xf>
    <xf numFmtId="0" fontId="2" fillId="0" borderId="0" xfId="0" applyFont="1"/>
    <xf numFmtId="0" fontId="4"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A4A2B3-ECB9-4D7F-AC8B-0E4AF1A2A967}">
  <we:reference id="29673e3c-d826-4f00-92ee-162334a52b1a" version="1.0.0.8" store="EXCatalog" storeType="EXCatalog"/>
  <we:alternateReferences>
    <we:reference id="WA200009404" version="1.0.0.8" store="en-US" storeType="OMEX"/>
  </we:alternateReferences>
  <we:properties>
    <we:property name="claude.fileId" value="&quot;1a5dda24-a54d-48a3-afac-f6ccbc504f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f:/p/pete/IgCptSKX6tvYQLi4c7Xfje-0AYkyGRmaviq38dnpkvGnFKw?e=IPyU4qThird%20Party%20Vendor%20Security%20Riews%20and%20Certifications" TargetMode="External"/><Relationship Id="rId7" Type="http://schemas.openxmlformats.org/officeDocument/2006/relationships/printerSettings" Target="../printerSettings/printerSettings1.bin"/><Relationship Id="rId2" Type="http://schemas.openxmlformats.org/officeDocument/2006/relationships/hyperlink" Target="https://pistosip-my.sharepoint.com/:w:/p/pete/IQB14An3ZR_GTpWKpkTWphKHAbcuv4nwcgZNQ28BrNRgFSg?e=3OnNMm" TargetMode="External"/><Relationship Id="rId1" Type="http://schemas.openxmlformats.org/officeDocument/2006/relationships/hyperlink" Target="https://pistosip-my.sharepoint.com/:w:/p/pete/IQD4P31eV9zfQqb6vdSf3g47AZmEW39mpCRzDTHmCCsH_-c?e=YSptoZ" TargetMode="External"/><Relationship Id="rId6" Type="http://schemas.openxmlformats.org/officeDocument/2006/relationships/hyperlink" Target="https://pistosip-my.sharepoint.com/:w:/p/pete/IQDRhGh_mDWGTq8TfDalngquAZWEEF2SF3c5ne-33dZGs6c?e=5nWPcn" TargetMode="External"/><Relationship Id="rId5" Type="http://schemas.openxmlformats.org/officeDocument/2006/relationships/hyperlink" Target="https://pistosip-my.sharepoint.com/:w:/p/pete/IQBPfq5YXdbGQpCOx769Cno7AauikiTJ4G5-dzQzAVtYWpo?e=WOmWDP" TargetMode="External"/><Relationship Id="rId4" Type="http://schemas.openxmlformats.org/officeDocument/2006/relationships/hyperlink" Target="https://pistosip-my.sharepoint.com/:w:/p/pete/IQCs0-KfA1QyS6tibsprjE55AfKu-p2b48H_K0mbDuhKHBo?e=8h8c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D20D-098F-4FB7-973E-0F4AE39EB4AD}">
  <dimension ref="A1:K64"/>
  <sheetViews>
    <sheetView tabSelected="1" topLeftCell="A18" workbookViewId="0">
      <selection activeCell="I54" sqref="I54"/>
    </sheetView>
  </sheetViews>
  <sheetFormatPr defaultColWidth="12.28515625" defaultRowHeight="15" x14ac:dyDescent="0.25"/>
  <cols>
    <col min="1" max="1" width="12.28515625" style="1"/>
    <col min="2" max="2" width="12.28515625" style="2"/>
    <col min="3" max="3" width="86.28515625" customWidth="1"/>
    <col min="4" max="4" width="44.7109375" hidden="1" customWidth="1"/>
    <col min="5" max="5" width="9.85546875" style="3" hidden="1" customWidth="1"/>
    <col min="6" max="6" width="15.5703125" style="3" hidden="1" customWidth="1"/>
    <col min="7" max="7" width="13.140625" style="3" hidden="1" customWidth="1"/>
    <col min="8" max="8" width="14.7109375" style="3" hidden="1" customWidth="1"/>
    <col min="9" max="9" width="12.28515625" style="2"/>
    <col min="10" max="10" width="20.85546875" style="1" customWidth="1"/>
  </cols>
  <sheetData>
    <row r="1" spans="1:11" ht="30" x14ac:dyDescent="0.25">
      <c r="A1" s="1" t="s">
        <v>4</v>
      </c>
      <c r="B1" s="2" t="s">
        <v>1</v>
      </c>
      <c r="C1" s="2" t="s">
        <v>0</v>
      </c>
      <c r="D1" s="2" t="s">
        <v>31</v>
      </c>
      <c r="E1" s="2" t="s">
        <v>2</v>
      </c>
      <c r="F1" s="2" t="s">
        <v>30</v>
      </c>
      <c r="G1" s="2" t="s">
        <v>5</v>
      </c>
      <c r="H1" s="2" t="s">
        <v>6</v>
      </c>
      <c r="I1" s="2" t="s">
        <v>22</v>
      </c>
      <c r="J1" s="1" t="s">
        <v>6</v>
      </c>
      <c r="K1" t="s">
        <v>3</v>
      </c>
    </row>
    <row r="2" spans="1:11" x14ac:dyDescent="0.25">
      <c r="A2" s="1">
        <v>2025</v>
      </c>
      <c r="B2" s="2" t="s">
        <v>69</v>
      </c>
      <c r="C2" t="s">
        <v>41</v>
      </c>
      <c r="D2" t="s">
        <v>43</v>
      </c>
      <c r="E2" s="3" t="s">
        <v>8</v>
      </c>
      <c r="F2" s="3" t="s">
        <v>9</v>
      </c>
      <c r="G2" s="3" t="s">
        <v>34</v>
      </c>
      <c r="H2" s="3" t="s">
        <v>38</v>
      </c>
      <c r="I2" s="2">
        <v>10</v>
      </c>
      <c r="J2" s="1" t="s">
        <v>38</v>
      </c>
      <c r="K2" s="2"/>
    </row>
    <row r="3" spans="1:11" x14ac:dyDescent="0.25">
      <c r="A3" s="1">
        <v>2025</v>
      </c>
      <c r="B3" s="2" t="s">
        <v>71</v>
      </c>
      <c r="C3" t="s">
        <v>7</v>
      </c>
      <c r="D3" t="s">
        <v>23</v>
      </c>
      <c r="E3" s="3" t="s">
        <v>8</v>
      </c>
      <c r="F3" s="3" t="s">
        <v>9</v>
      </c>
      <c r="G3" s="3" t="s">
        <v>34</v>
      </c>
      <c r="H3" s="3" t="s">
        <v>38</v>
      </c>
      <c r="I3" s="2">
        <v>5</v>
      </c>
      <c r="J3" s="1" t="s">
        <v>40</v>
      </c>
      <c r="K3" t="s">
        <v>116</v>
      </c>
    </row>
    <row r="4" spans="1:11" x14ac:dyDescent="0.25">
      <c r="A4" s="1">
        <v>2025</v>
      </c>
      <c r="B4" s="2" t="s">
        <v>72</v>
      </c>
      <c r="C4" t="s">
        <v>117</v>
      </c>
      <c r="E4" s="3" t="s">
        <v>8</v>
      </c>
      <c r="I4" s="2">
        <v>5</v>
      </c>
      <c r="J4" s="1" t="s">
        <v>40</v>
      </c>
    </row>
    <row r="5" spans="1:11" x14ac:dyDescent="0.25">
      <c r="A5" s="1">
        <v>2025</v>
      </c>
      <c r="B5" s="2" t="s">
        <v>73</v>
      </c>
      <c r="C5" t="s">
        <v>11</v>
      </c>
      <c r="D5" t="s">
        <v>23</v>
      </c>
      <c r="E5" s="3" t="s">
        <v>8</v>
      </c>
      <c r="F5" s="3" t="s">
        <v>9</v>
      </c>
      <c r="G5" s="3" t="s">
        <v>34</v>
      </c>
      <c r="H5" s="3" t="s">
        <v>38</v>
      </c>
      <c r="I5" s="2">
        <v>10</v>
      </c>
      <c r="J5" s="1" t="s">
        <v>40</v>
      </c>
    </row>
    <row r="6" spans="1:11" x14ac:dyDescent="0.25">
      <c r="A6" s="1">
        <v>2025</v>
      </c>
      <c r="B6" s="2" t="s">
        <v>74</v>
      </c>
      <c r="C6" t="s">
        <v>12</v>
      </c>
      <c r="D6" t="s">
        <v>24</v>
      </c>
      <c r="E6" s="3" t="s">
        <v>8</v>
      </c>
      <c r="F6" s="3" t="s">
        <v>9</v>
      </c>
      <c r="G6" s="3" t="s">
        <v>34</v>
      </c>
      <c r="H6" s="3" t="s">
        <v>38</v>
      </c>
      <c r="I6" s="2">
        <v>6</v>
      </c>
      <c r="J6" s="1" t="s">
        <v>40</v>
      </c>
      <c r="K6" s="4" t="s">
        <v>118</v>
      </c>
    </row>
    <row r="7" spans="1:11" x14ac:dyDescent="0.25">
      <c r="A7" s="1">
        <v>2025</v>
      </c>
      <c r="B7" s="2" t="s">
        <v>75</v>
      </c>
      <c r="C7" t="s">
        <v>35</v>
      </c>
      <c r="D7" t="s">
        <v>25</v>
      </c>
      <c r="E7" s="3" t="s">
        <v>8</v>
      </c>
      <c r="F7" s="3" t="s">
        <v>9</v>
      </c>
      <c r="G7" s="3" t="s">
        <v>34</v>
      </c>
      <c r="H7" s="3" t="s">
        <v>38</v>
      </c>
      <c r="I7" s="2">
        <v>7</v>
      </c>
      <c r="J7" s="1" t="s">
        <v>38</v>
      </c>
      <c r="K7" s="4" t="s">
        <v>119</v>
      </c>
    </row>
    <row r="8" spans="1:11" x14ac:dyDescent="0.25">
      <c r="A8" s="1">
        <v>2025</v>
      </c>
      <c r="B8" s="2" t="s">
        <v>76</v>
      </c>
      <c r="C8" t="s">
        <v>120</v>
      </c>
      <c r="D8" t="s">
        <v>26</v>
      </c>
      <c r="E8" s="3" t="s">
        <v>8</v>
      </c>
      <c r="F8" s="3" t="s">
        <v>9</v>
      </c>
      <c r="G8" s="3" t="s">
        <v>34</v>
      </c>
      <c r="H8" s="3" t="s">
        <v>38</v>
      </c>
      <c r="I8" s="2">
        <v>6</v>
      </c>
      <c r="J8" s="1" t="s">
        <v>38</v>
      </c>
      <c r="K8" s="5" t="s">
        <v>121</v>
      </c>
    </row>
    <row r="9" spans="1:11" x14ac:dyDescent="0.25">
      <c r="A9" s="1">
        <v>2025</v>
      </c>
      <c r="B9" s="2" t="s">
        <v>77</v>
      </c>
      <c r="C9" t="s">
        <v>18</v>
      </c>
      <c r="D9" t="s">
        <v>26</v>
      </c>
      <c r="E9" s="3" t="s">
        <v>8</v>
      </c>
      <c r="F9" s="3" t="s">
        <v>9</v>
      </c>
      <c r="G9" s="3" t="s">
        <v>34</v>
      </c>
      <c r="H9" s="3" t="s">
        <v>10</v>
      </c>
      <c r="I9" s="2">
        <v>10</v>
      </c>
      <c r="J9" s="1" t="s">
        <v>38</v>
      </c>
      <c r="K9" t="s">
        <v>116</v>
      </c>
    </row>
    <row r="10" spans="1:11" x14ac:dyDescent="0.25">
      <c r="A10" s="1">
        <v>2025</v>
      </c>
      <c r="B10" s="2" t="s">
        <v>78</v>
      </c>
      <c r="C10" t="s">
        <v>122</v>
      </c>
      <c r="D10" t="s">
        <v>26</v>
      </c>
      <c r="E10" s="3" t="s">
        <v>8</v>
      </c>
      <c r="F10" s="3" t="s">
        <v>9</v>
      </c>
      <c r="G10" s="3" t="s">
        <v>34</v>
      </c>
      <c r="H10" s="3" t="s">
        <v>10</v>
      </c>
      <c r="I10" s="2">
        <v>7</v>
      </c>
      <c r="J10" s="1" t="s">
        <v>38</v>
      </c>
      <c r="K10" s="4" t="s">
        <v>123</v>
      </c>
    </row>
    <row r="11" spans="1:11" x14ac:dyDescent="0.25">
      <c r="A11" s="1">
        <v>2025</v>
      </c>
      <c r="B11" s="2" t="s">
        <v>79</v>
      </c>
      <c r="C11" t="s">
        <v>33</v>
      </c>
      <c r="D11" t="s">
        <v>29</v>
      </c>
      <c r="E11" s="3" t="s">
        <v>8</v>
      </c>
      <c r="F11" s="3" t="s">
        <v>9</v>
      </c>
      <c r="G11" s="3" t="s">
        <v>34</v>
      </c>
      <c r="H11" s="3" t="s">
        <v>39</v>
      </c>
      <c r="I11" s="2">
        <v>9</v>
      </c>
      <c r="J11" s="1" t="s">
        <v>10</v>
      </c>
      <c r="K11" s="5" t="s">
        <v>127</v>
      </c>
    </row>
    <row r="12" spans="1:11" x14ac:dyDescent="0.25">
      <c r="A12" s="1">
        <v>2025</v>
      </c>
      <c r="B12" s="2" t="s">
        <v>80</v>
      </c>
      <c r="C12" t="s">
        <v>37</v>
      </c>
      <c r="D12" t="s">
        <v>26</v>
      </c>
      <c r="E12" s="3" t="s">
        <v>8</v>
      </c>
      <c r="F12" s="3" t="s">
        <v>9</v>
      </c>
      <c r="G12" s="3" t="s">
        <v>34</v>
      </c>
      <c r="H12" s="3" t="s">
        <v>10</v>
      </c>
      <c r="I12" s="2">
        <v>8</v>
      </c>
      <c r="J12" s="1" t="s">
        <v>38</v>
      </c>
      <c r="K12" t="s">
        <v>116</v>
      </c>
    </row>
    <row r="13" spans="1:11" x14ac:dyDescent="0.25">
      <c r="A13" s="1">
        <v>2025</v>
      </c>
      <c r="B13" s="2" t="s">
        <v>81</v>
      </c>
      <c r="C13" t="s">
        <v>19</v>
      </c>
      <c r="D13" t="s">
        <v>23</v>
      </c>
      <c r="E13" s="3" t="s">
        <v>8</v>
      </c>
      <c r="F13" s="3" t="s">
        <v>9</v>
      </c>
      <c r="G13" s="3" t="s">
        <v>34</v>
      </c>
      <c r="H13" s="3" t="s">
        <v>10</v>
      </c>
      <c r="I13" s="2">
        <v>7</v>
      </c>
      <c r="J13" s="1" t="s">
        <v>10</v>
      </c>
      <c r="K13" s="4" t="s">
        <v>126</v>
      </c>
    </row>
    <row r="14" spans="1:11" x14ac:dyDescent="0.25">
      <c r="A14" s="1">
        <v>2025</v>
      </c>
      <c r="B14" s="2" t="s">
        <v>82</v>
      </c>
      <c r="C14" t="s">
        <v>20</v>
      </c>
      <c r="D14" t="s">
        <v>25</v>
      </c>
      <c r="E14" s="3" t="s">
        <v>8</v>
      </c>
      <c r="F14" s="3" t="s">
        <v>9</v>
      </c>
      <c r="G14" s="3" t="s">
        <v>34</v>
      </c>
      <c r="H14" s="3" t="s">
        <v>40</v>
      </c>
      <c r="I14" s="2">
        <v>10</v>
      </c>
      <c r="J14" s="1" t="s">
        <v>40</v>
      </c>
      <c r="K14" t="s">
        <v>116</v>
      </c>
    </row>
    <row r="15" spans="1:11" x14ac:dyDescent="0.25">
      <c r="A15" s="1">
        <v>2025</v>
      </c>
      <c r="B15" s="2" t="s">
        <v>83</v>
      </c>
      <c r="C15" t="s">
        <v>47</v>
      </c>
      <c r="E15" t="s">
        <v>46</v>
      </c>
      <c r="F15" s="3" t="s">
        <v>47</v>
      </c>
      <c r="G15" s="3">
        <v>6</v>
      </c>
      <c r="I15" s="2">
        <v>6</v>
      </c>
      <c r="J15" s="1" t="s">
        <v>10</v>
      </c>
    </row>
    <row r="16" spans="1:11" x14ac:dyDescent="0.25">
      <c r="A16" s="1">
        <v>2025</v>
      </c>
      <c r="B16" s="2" t="s">
        <v>85</v>
      </c>
      <c r="C16" t="s">
        <v>48</v>
      </c>
      <c r="D16" t="s">
        <v>44</v>
      </c>
      <c r="E16" t="s">
        <v>46</v>
      </c>
      <c r="F16" s="3" t="s">
        <v>48</v>
      </c>
      <c r="G16" s="3">
        <v>4</v>
      </c>
      <c r="H16" t="s">
        <v>44</v>
      </c>
      <c r="I16" s="2">
        <v>4</v>
      </c>
      <c r="J16" s="1" t="s">
        <v>10</v>
      </c>
    </row>
    <row r="17" spans="1:10" x14ac:dyDescent="0.25">
      <c r="A17" s="1">
        <v>2025</v>
      </c>
      <c r="B17" s="2" t="s">
        <v>88</v>
      </c>
      <c r="C17" t="s">
        <v>49</v>
      </c>
      <c r="E17" t="s">
        <v>46</v>
      </c>
      <c r="F17" s="3" t="s">
        <v>49</v>
      </c>
      <c r="G17" s="3">
        <v>8</v>
      </c>
      <c r="I17" s="2">
        <v>8</v>
      </c>
      <c r="J17" s="1" t="s">
        <v>10</v>
      </c>
    </row>
    <row r="18" spans="1:10" x14ac:dyDescent="0.25">
      <c r="A18" s="1">
        <v>2025</v>
      </c>
      <c r="B18" s="2" t="s">
        <v>89</v>
      </c>
      <c r="C18" t="s">
        <v>50</v>
      </c>
      <c r="E18" t="s">
        <v>46</v>
      </c>
      <c r="F18" s="3" t="s">
        <v>50</v>
      </c>
      <c r="G18" s="3">
        <v>5</v>
      </c>
      <c r="I18" s="2">
        <v>5</v>
      </c>
      <c r="J18" s="1" t="s">
        <v>10</v>
      </c>
    </row>
    <row r="19" spans="1:10" x14ac:dyDescent="0.25">
      <c r="A19" s="1">
        <v>2025</v>
      </c>
      <c r="B19" s="2" t="s">
        <v>90</v>
      </c>
      <c r="C19" t="s">
        <v>51</v>
      </c>
      <c r="E19" t="s">
        <v>46</v>
      </c>
      <c r="F19" s="3" t="s">
        <v>51</v>
      </c>
      <c r="G19" s="3">
        <v>2</v>
      </c>
      <c r="I19" s="2">
        <v>2</v>
      </c>
      <c r="J19" s="1" t="s">
        <v>10</v>
      </c>
    </row>
    <row r="20" spans="1:10" x14ac:dyDescent="0.25">
      <c r="A20" s="1">
        <v>2025</v>
      </c>
      <c r="B20" s="2" t="s">
        <v>91</v>
      </c>
      <c r="C20" t="s">
        <v>52</v>
      </c>
      <c r="E20" t="s">
        <v>16</v>
      </c>
      <c r="F20" s="3" t="s">
        <v>52</v>
      </c>
      <c r="G20" s="3">
        <v>8</v>
      </c>
      <c r="I20" s="2">
        <v>8</v>
      </c>
      <c r="J20" s="1" t="s">
        <v>10</v>
      </c>
    </row>
    <row r="21" spans="1:10" x14ac:dyDescent="0.25">
      <c r="A21" s="1">
        <v>2025</v>
      </c>
      <c r="B21" s="2" t="s">
        <v>92</v>
      </c>
      <c r="C21" t="s">
        <v>53</v>
      </c>
      <c r="E21" t="s">
        <v>16</v>
      </c>
      <c r="F21" s="3" t="s">
        <v>53</v>
      </c>
      <c r="G21" s="3">
        <v>5</v>
      </c>
      <c r="I21" s="2">
        <v>5</v>
      </c>
      <c r="J21" s="1" t="s">
        <v>10</v>
      </c>
    </row>
    <row r="22" spans="1:10" x14ac:dyDescent="0.25">
      <c r="A22" s="1">
        <v>2025</v>
      </c>
      <c r="B22" s="2" t="s">
        <v>93</v>
      </c>
      <c r="C22" t="s">
        <v>54</v>
      </c>
      <c r="E22" t="s">
        <v>16</v>
      </c>
      <c r="F22" s="3" t="s">
        <v>54</v>
      </c>
      <c r="G22" s="3">
        <v>3</v>
      </c>
      <c r="I22" s="2">
        <v>3</v>
      </c>
      <c r="J22" s="1" t="s">
        <v>10</v>
      </c>
    </row>
    <row r="23" spans="1:10" x14ac:dyDescent="0.25">
      <c r="A23" s="1">
        <v>2025</v>
      </c>
      <c r="B23" s="2" t="s">
        <v>94</v>
      </c>
      <c r="C23" t="s">
        <v>55</v>
      </c>
      <c r="E23" t="s">
        <v>16</v>
      </c>
      <c r="F23" s="3" t="s">
        <v>55</v>
      </c>
      <c r="G23" s="3">
        <v>5</v>
      </c>
      <c r="I23" s="2">
        <v>5</v>
      </c>
      <c r="J23" s="1" t="s">
        <v>10</v>
      </c>
    </row>
    <row r="24" spans="1:10" x14ac:dyDescent="0.25">
      <c r="A24" s="1">
        <v>2025</v>
      </c>
      <c r="B24" s="2" t="s">
        <v>95</v>
      </c>
      <c r="C24" t="s">
        <v>56</v>
      </c>
      <c r="E24" t="s">
        <v>16</v>
      </c>
      <c r="F24" s="3" t="s">
        <v>56</v>
      </c>
      <c r="G24" s="3">
        <v>4</v>
      </c>
      <c r="I24" s="2">
        <v>4</v>
      </c>
      <c r="J24" s="1" t="s">
        <v>10</v>
      </c>
    </row>
    <row r="25" spans="1:10" x14ac:dyDescent="0.25">
      <c r="A25" s="1">
        <v>2025</v>
      </c>
      <c r="B25" s="2" t="s">
        <v>84</v>
      </c>
      <c r="C25" t="s">
        <v>58</v>
      </c>
      <c r="E25" t="s">
        <v>57</v>
      </c>
      <c r="F25" s="3" t="s">
        <v>58</v>
      </c>
      <c r="G25" s="3">
        <v>0</v>
      </c>
      <c r="I25" s="2">
        <v>0</v>
      </c>
      <c r="J25" s="1" t="s">
        <v>10</v>
      </c>
    </row>
    <row r="26" spans="1:10" x14ac:dyDescent="0.25">
      <c r="A26" s="1">
        <v>2025</v>
      </c>
      <c r="B26" s="2" t="s">
        <v>86</v>
      </c>
      <c r="C26" t="s">
        <v>59</v>
      </c>
      <c r="E26" t="s">
        <v>57</v>
      </c>
      <c r="F26" s="3" t="s">
        <v>59</v>
      </c>
      <c r="G26" s="3">
        <v>3</v>
      </c>
      <c r="I26" s="2">
        <v>3</v>
      </c>
      <c r="J26" s="1" t="s">
        <v>10</v>
      </c>
    </row>
    <row r="27" spans="1:10" x14ac:dyDescent="0.25">
      <c r="A27" s="1">
        <v>2025</v>
      </c>
      <c r="B27" s="2" t="s">
        <v>96</v>
      </c>
      <c r="C27" t="s">
        <v>60</v>
      </c>
      <c r="E27" t="s">
        <v>57</v>
      </c>
      <c r="F27" s="3" t="s">
        <v>60</v>
      </c>
      <c r="G27" s="3">
        <v>5</v>
      </c>
      <c r="I27" s="2">
        <v>5</v>
      </c>
      <c r="J27" s="1" t="s">
        <v>10</v>
      </c>
    </row>
    <row r="28" spans="1:10" x14ac:dyDescent="0.25">
      <c r="A28" s="1">
        <v>2025</v>
      </c>
      <c r="B28" s="2" t="s">
        <v>97</v>
      </c>
      <c r="C28" t="s">
        <v>61</v>
      </c>
      <c r="E28" t="s">
        <v>57</v>
      </c>
      <c r="F28" s="3" t="s">
        <v>61</v>
      </c>
      <c r="G28" s="3">
        <v>0</v>
      </c>
      <c r="I28" s="2">
        <v>0</v>
      </c>
      <c r="J28" s="1" t="s">
        <v>10</v>
      </c>
    </row>
    <row r="29" spans="1:10" x14ac:dyDescent="0.25">
      <c r="A29" s="1">
        <v>2025</v>
      </c>
      <c r="B29" s="2" t="s">
        <v>98</v>
      </c>
      <c r="C29" t="s">
        <v>62</v>
      </c>
      <c r="E29" t="s">
        <v>57</v>
      </c>
      <c r="F29" s="3" t="s">
        <v>62</v>
      </c>
      <c r="G29" s="3">
        <v>17</v>
      </c>
      <c r="I29" s="2">
        <v>17</v>
      </c>
      <c r="J29" s="1" t="s">
        <v>10</v>
      </c>
    </row>
    <row r="30" spans="1:10" x14ac:dyDescent="0.25">
      <c r="A30" s="1">
        <v>2025</v>
      </c>
      <c r="B30" s="2" t="s">
        <v>109</v>
      </c>
      <c r="C30" t="s">
        <v>52</v>
      </c>
      <c r="E30" t="s">
        <v>108</v>
      </c>
      <c r="F30" s="3" t="s">
        <v>52</v>
      </c>
      <c r="G30" s="3">
        <v>8</v>
      </c>
      <c r="I30" s="2">
        <v>8</v>
      </c>
      <c r="J30" s="1" t="s">
        <v>10</v>
      </c>
    </row>
    <row r="31" spans="1:10" x14ac:dyDescent="0.25">
      <c r="A31" s="1">
        <v>2025</v>
      </c>
      <c r="B31" s="2" t="s">
        <v>110</v>
      </c>
      <c r="C31" t="s">
        <v>53</v>
      </c>
      <c r="E31" t="s">
        <v>108</v>
      </c>
      <c r="F31" s="3" t="s">
        <v>53</v>
      </c>
      <c r="G31" s="3">
        <v>5</v>
      </c>
      <c r="I31" s="2">
        <v>5</v>
      </c>
      <c r="J31" s="1" t="s">
        <v>10</v>
      </c>
    </row>
    <row r="32" spans="1:10" x14ac:dyDescent="0.25">
      <c r="A32" s="1">
        <v>2025</v>
      </c>
      <c r="B32" s="2" t="s">
        <v>111</v>
      </c>
      <c r="C32" t="s">
        <v>54</v>
      </c>
      <c r="E32" t="s">
        <v>108</v>
      </c>
      <c r="F32" s="3" t="s">
        <v>54</v>
      </c>
      <c r="G32" s="3">
        <v>3</v>
      </c>
      <c r="I32" s="2">
        <v>3</v>
      </c>
      <c r="J32" s="1" t="s">
        <v>10</v>
      </c>
    </row>
    <row r="33" spans="1:11" x14ac:dyDescent="0.25">
      <c r="A33" s="1">
        <v>2025</v>
      </c>
      <c r="B33" s="2" t="s">
        <v>112</v>
      </c>
      <c r="C33" t="s">
        <v>55</v>
      </c>
      <c r="E33" t="s">
        <v>108</v>
      </c>
      <c r="F33" s="3" t="s">
        <v>55</v>
      </c>
      <c r="G33" s="3">
        <v>5</v>
      </c>
      <c r="I33" s="2">
        <v>5</v>
      </c>
      <c r="J33" s="1" t="s">
        <v>10</v>
      </c>
    </row>
    <row r="34" spans="1:11" x14ac:dyDescent="0.25">
      <c r="A34" s="1">
        <v>2025</v>
      </c>
      <c r="B34" s="2" t="s">
        <v>113</v>
      </c>
      <c r="C34" t="s">
        <v>56</v>
      </c>
      <c r="E34" t="s">
        <v>16</v>
      </c>
      <c r="F34" s="3" t="s">
        <v>56</v>
      </c>
      <c r="G34" s="3">
        <v>4</v>
      </c>
      <c r="I34" s="2">
        <v>4</v>
      </c>
      <c r="J34" s="1" t="s">
        <v>10</v>
      </c>
    </row>
    <row r="35" spans="1:11" x14ac:dyDescent="0.25">
      <c r="A35" s="1">
        <v>2025</v>
      </c>
      <c r="B35" s="2" t="s">
        <v>70</v>
      </c>
      <c r="C35" t="s">
        <v>64</v>
      </c>
      <c r="E35" t="s">
        <v>63</v>
      </c>
      <c r="F35" s="3" t="s">
        <v>64</v>
      </c>
      <c r="G35" s="3">
        <v>6</v>
      </c>
      <c r="I35" s="2">
        <v>6</v>
      </c>
      <c r="J35" s="1" t="s">
        <v>10</v>
      </c>
    </row>
    <row r="36" spans="1:11" x14ac:dyDescent="0.25">
      <c r="A36" s="1">
        <v>2025</v>
      </c>
      <c r="B36" s="2" t="s">
        <v>87</v>
      </c>
      <c r="C36" t="s">
        <v>65</v>
      </c>
      <c r="E36" t="s">
        <v>63</v>
      </c>
      <c r="F36" s="3" t="s">
        <v>65</v>
      </c>
      <c r="G36" s="3">
        <v>3</v>
      </c>
      <c r="I36" s="2">
        <v>3</v>
      </c>
      <c r="J36" s="1" t="s">
        <v>10</v>
      </c>
    </row>
    <row r="37" spans="1:11" x14ac:dyDescent="0.25">
      <c r="A37" s="1">
        <v>2025</v>
      </c>
      <c r="B37" s="2" t="s">
        <v>99</v>
      </c>
      <c r="C37" t="s">
        <v>66</v>
      </c>
      <c r="E37" t="s">
        <v>63</v>
      </c>
      <c r="F37" s="3" t="s">
        <v>66</v>
      </c>
      <c r="G37" s="3">
        <v>11</v>
      </c>
      <c r="I37" s="2">
        <v>11</v>
      </c>
      <c r="J37" s="1" t="s">
        <v>10</v>
      </c>
    </row>
    <row r="38" spans="1:11" x14ac:dyDescent="0.25">
      <c r="A38" s="1">
        <v>2025</v>
      </c>
      <c r="B38" s="2" t="s">
        <v>100</v>
      </c>
      <c r="C38" t="s">
        <v>67</v>
      </c>
      <c r="E38" t="s">
        <v>63</v>
      </c>
      <c r="F38" s="3" t="s">
        <v>67</v>
      </c>
      <c r="G38" s="3">
        <v>5</v>
      </c>
      <c r="I38" s="2">
        <v>5</v>
      </c>
      <c r="J38" s="1" t="s">
        <v>10</v>
      </c>
    </row>
    <row r="39" spans="1:11" x14ac:dyDescent="0.25">
      <c r="A39" s="1">
        <v>2025</v>
      </c>
      <c r="B39" s="2" t="s">
        <v>101</v>
      </c>
      <c r="C39" t="s">
        <v>68</v>
      </c>
      <c r="E39" t="s">
        <v>63</v>
      </c>
      <c r="F39" s="3" t="s">
        <v>68</v>
      </c>
      <c r="G39" s="3">
        <v>0</v>
      </c>
      <c r="I39" s="2">
        <v>0</v>
      </c>
      <c r="J39" s="1" t="s">
        <v>10</v>
      </c>
    </row>
    <row r="40" spans="1:11" x14ac:dyDescent="0.25">
      <c r="A40" s="1">
        <v>2025</v>
      </c>
      <c r="B40" s="2" t="s">
        <v>102</v>
      </c>
      <c r="C40" t="s">
        <v>13</v>
      </c>
      <c r="D40" t="s">
        <v>29</v>
      </c>
      <c r="E40" s="3" t="s">
        <v>45</v>
      </c>
      <c r="F40" s="3" t="s">
        <v>28</v>
      </c>
      <c r="G40" s="3" t="s">
        <v>14</v>
      </c>
      <c r="H40" s="3" t="s">
        <v>10</v>
      </c>
      <c r="I40" s="2">
        <v>3</v>
      </c>
      <c r="J40" s="1" t="s">
        <v>10</v>
      </c>
      <c r="K40" s="4" t="s">
        <v>36</v>
      </c>
    </row>
    <row r="41" spans="1:11" x14ac:dyDescent="0.25">
      <c r="A41" s="1">
        <v>2025</v>
      </c>
      <c r="B41" s="2" t="s">
        <v>103</v>
      </c>
      <c r="C41" t="s">
        <v>42</v>
      </c>
      <c r="D41" t="s">
        <v>29</v>
      </c>
      <c r="E41" s="3" t="s">
        <v>45</v>
      </c>
      <c r="F41" s="3" t="s">
        <v>28</v>
      </c>
      <c r="G41" s="3" t="s">
        <v>14</v>
      </c>
      <c r="H41" s="3" t="s">
        <v>10</v>
      </c>
      <c r="I41" s="2">
        <v>2</v>
      </c>
      <c r="J41" s="1" t="s">
        <v>10</v>
      </c>
      <c r="K41" s="4" t="s">
        <v>36</v>
      </c>
    </row>
    <row r="42" spans="1:11" x14ac:dyDescent="0.25">
      <c r="A42" s="1">
        <v>2025</v>
      </c>
      <c r="B42" s="2" t="s">
        <v>104</v>
      </c>
      <c r="C42" t="s">
        <v>15</v>
      </c>
      <c r="D42" t="s">
        <v>32</v>
      </c>
      <c r="E42" s="3" t="s">
        <v>45</v>
      </c>
      <c r="F42" s="3" t="s">
        <v>28</v>
      </c>
      <c r="G42" s="3" t="s">
        <v>14</v>
      </c>
      <c r="H42" s="3" t="s">
        <v>10</v>
      </c>
      <c r="I42" s="2">
        <v>3</v>
      </c>
      <c r="J42" s="1" t="s">
        <v>10</v>
      </c>
      <c r="K42" s="4" t="s">
        <v>36</v>
      </c>
    </row>
    <row r="43" spans="1:11" x14ac:dyDescent="0.25">
      <c r="A43" s="1">
        <v>2025</v>
      </c>
      <c r="B43" s="2" t="s">
        <v>105</v>
      </c>
      <c r="C43" t="s">
        <v>17</v>
      </c>
      <c r="D43" t="s">
        <v>29</v>
      </c>
      <c r="E43" s="3" t="s">
        <v>45</v>
      </c>
      <c r="F43" s="3" t="s">
        <v>28</v>
      </c>
      <c r="G43" s="3" t="s">
        <v>14</v>
      </c>
      <c r="H43" s="3" t="s">
        <v>10</v>
      </c>
      <c r="I43" s="2">
        <v>7</v>
      </c>
      <c r="J43" s="1" t="s">
        <v>10</v>
      </c>
      <c r="K43" s="4" t="s">
        <v>36</v>
      </c>
    </row>
    <row r="44" spans="1:11" x14ac:dyDescent="0.25">
      <c r="A44" s="1">
        <v>2025</v>
      </c>
      <c r="B44" s="2" t="s">
        <v>106</v>
      </c>
      <c r="C44" t="s">
        <v>27</v>
      </c>
      <c r="D44" t="s">
        <v>29</v>
      </c>
      <c r="E44" s="3" t="s">
        <v>45</v>
      </c>
      <c r="F44" s="3" t="s">
        <v>28</v>
      </c>
      <c r="G44" s="3" t="s">
        <v>14</v>
      </c>
      <c r="H44" s="3" t="s">
        <v>10</v>
      </c>
      <c r="I44" s="2">
        <v>3</v>
      </c>
      <c r="J44" s="1" t="s">
        <v>10</v>
      </c>
      <c r="K44" s="4" t="s">
        <v>36</v>
      </c>
    </row>
    <row r="45" spans="1:11" x14ac:dyDescent="0.25">
      <c r="A45" s="1">
        <v>2025</v>
      </c>
      <c r="B45" s="2" t="s">
        <v>107</v>
      </c>
      <c r="C45" t="s">
        <v>115</v>
      </c>
      <c r="E45" s="3" t="s">
        <v>45</v>
      </c>
      <c r="I45" s="2">
        <v>5</v>
      </c>
      <c r="J45" s="1" t="s">
        <v>10</v>
      </c>
      <c r="K45" s="4"/>
    </row>
    <row r="46" spans="1:11" x14ac:dyDescent="0.25">
      <c r="A46" s="1">
        <v>2025</v>
      </c>
      <c r="B46" s="2" t="s">
        <v>114</v>
      </c>
      <c r="C46" t="s">
        <v>21</v>
      </c>
      <c r="D46" t="s">
        <v>29</v>
      </c>
      <c r="E46" s="3" t="s">
        <v>45</v>
      </c>
      <c r="F46" s="3" t="s">
        <v>28</v>
      </c>
      <c r="G46" s="3" t="s">
        <v>14</v>
      </c>
      <c r="H46" s="3" t="s">
        <v>10</v>
      </c>
      <c r="I46" s="2">
        <v>2</v>
      </c>
      <c r="J46" s="1" t="s">
        <v>10</v>
      </c>
      <c r="K46" s="4" t="s">
        <v>36</v>
      </c>
    </row>
    <row r="48" spans="1:11" x14ac:dyDescent="0.25">
      <c r="C48" t="s">
        <v>124</v>
      </c>
      <c r="I48" s="2">
        <f>SUM(I2:I46)</f>
        <v>250</v>
      </c>
    </row>
    <row r="49" spans="3:9" x14ac:dyDescent="0.25">
      <c r="C49" t="s">
        <v>125</v>
      </c>
      <c r="I49" s="2">
        <f>SUM(I15:I39)</f>
        <v>125</v>
      </c>
    </row>
    <row r="50" spans="3:9" x14ac:dyDescent="0.25">
      <c r="C50" t="s">
        <v>128</v>
      </c>
      <c r="I50" s="7">
        <f>SUM(I40:I46)</f>
        <v>25</v>
      </c>
    </row>
    <row r="51" spans="3:9" x14ac:dyDescent="0.25">
      <c r="C51" t="s">
        <v>129</v>
      </c>
      <c r="I51" s="2">
        <f>I48+I50</f>
        <v>275</v>
      </c>
    </row>
    <row r="53" spans="3:9" x14ac:dyDescent="0.25">
      <c r="I53" s="2" t="s">
        <v>131</v>
      </c>
    </row>
    <row r="54" spans="3:9" x14ac:dyDescent="0.25">
      <c r="I54" s="2" t="s">
        <v>130</v>
      </c>
    </row>
    <row r="59" spans="3:9" ht="15.75" customHeight="1" x14ac:dyDescent="0.25"/>
    <row r="60" spans="3:9" ht="15.75" customHeight="1" x14ac:dyDescent="0.25"/>
    <row r="61" spans="3:9" ht="15.75" customHeight="1" x14ac:dyDescent="0.25"/>
    <row r="62" spans="3:9" ht="15.75" customHeight="1" x14ac:dyDescent="0.25"/>
    <row r="63" spans="3:9" ht="15.75" customHeight="1" x14ac:dyDescent="0.25"/>
    <row r="64" spans="3:9" ht="15.75" customHeight="1" x14ac:dyDescent="0.25"/>
  </sheetData>
  <sortState xmlns:xlrd2="http://schemas.microsoft.com/office/spreadsheetml/2017/richdata2" ref="A2:K14">
    <sortCondition ref="E2:E14"/>
  </sortState>
  <phoneticPr fontId="3" type="noConversion"/>
  <hyperlinks>
    <hyperlink ref="K10" r:id="rId1" xr:uid="{772C5620-F0C6-425F-891B-DC0D311DEF3A}"/>
    <hyperlink ref="K6" r:id="rId2" xr:uid="{7F3A55C0-58C5-45AA-9004-5370953ABA56}"/>
    <hyperlink ref="K7" r:id="rId3" xr:uid="{D28F5FEE-AA3F-4306-8C23-8AB34196AEA3}"/>
    <hyperlink ref="K8" r:id="rId4" xr:uid="{3AE44020-EDD6-4629-B87D-AEAB0ACA5BD3}"/>
    <hyperlink ref="K13" r:id="rId5" xr:uid="{BA11DDE0-A9C3-4675-8833-B934DAC5469C}"/>
    <hyperlink ref="K11" r:id="rId6" xr:uid="{6C8D446A-F255-4E57-9D67-771AFA78C437}"/>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5E68-00C8-44D5-B4CC-D4D50872FB35}">
  <dimension ref="I3"/>
  <sheetViews>
    <sheetView workbookViewId="0">
      <selection activeCell="I3" sqref="I3:I21"/>
    </sheetView>
  </sheetViews>
  <sheetFormatPr defaultRowHeight="15" x14ac:dyDescent="0.25"/>
  <cols>
    <col min="9" max="9" width="25.7109375" bestFit="1" customWidth="1"/>
  </cols>
  <sheetData>
    <row r="3" spans="9:9" x14ac:dyDescent="0.25">
      <c r="I3" s="6"/>
    </row>
  </sheetData>
  <sortState xmlns:xlrd2="http://schemas.microsoft.com/office/spreadsheetml/2017/richdata2" ref="I9:I20">
    <sortCondition ref="I9:I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Sfoglia</dc:creator>
  <cp:lastModifiedBy>Pete Sfoglia</cp:lastModifiedBy>
  <dcterms:created xsi:type="dcterms:W3CDTF">2026-02-14T14:07:44Z</dcterms:created>
  <dcterms:modified xsi:type="dcterms:W3CDTF">2026-04-27T22:45:41Z</dcterms:modified>
</cp:coreProperties>
</file>